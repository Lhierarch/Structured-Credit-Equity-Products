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pple/Desktop/Imperial College/2020 summer/Structured Credit &amp; Equity Products/cw1-ddl6.5/"/>
    </mc:Choice>
  </mc:AlternateContent>
  <xr:revisionPtr revIDLastSave="0" documentId="13_ncr:1_{B5CFDF2F-F5BB-5344-91D6-BB74C3CEDB8A}" xr6:coauthVersionLast="44" xr6:coauthVersionMax="45" xr10:uidLastSave="{00000000-0000-0000-0000-000000000000}"/>
  <bookViews>
    <workbookView xWindow="0" yWindow="460" windowWidth="13780" windowHeight="16420" xr2:uid="{2AF00275-B0B4-4F0F-B887-9A0B7F56C2A8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46" i="1" l="1"/>
  <c r="P47" i="1"/>
  <c r="P48" i="1"/>
  <c r="P49" i="1"/>
  <c r="P50" i="1"/>
  <c r="P51" i="1"/>
  <c r="P52" i="1"/>
  <c r="P53" i="1"/>
  <c r="P54" i="1"/>
  <c r="P55" i="1"/>
  <c r="P46" i="1"/>
  <c r="B47" i="1"/>
  <c r="C47" i="1"/>
  <c r="F47" i="1" s="1"/>
  <c r="C48" i="1" s="1"/>
  <c r="C40" i="1"/>
  <c r="E37" i="1"/>
  <c r="E36" i="1"/>
  <c r="E35" i="1"/>
  <c r="E34" i="1"/>
  <c r="C36" i="1"/>
  <c r="C34" i="1"/>
  <c r="P16" i="1"/>
  <c r="P18" i="1"/>
  <c r="P3" i="1"/>
  <c r="P8" i="1"/>
  <c r="P9" i="1"/>
  <c r="P10" i="1"/>
  <c r="P12" i="1"/>
  <c r="M8" i="1"/>
  <c r="M9" i="1"/>
  <c r="M10" i="1"/>
  <c r="M12" i="1"/>
  <c r="M4" i="1"/>
  <c r="M3" i="1"/>
  <c r="F8" i="1"/>
  <c r="F9" i="1"/>
  <c r="F10" i="1"/>
  <c r="F12" i="1"/>
  <c r="F3" i="1"/>
  <c r="E4" i="1"/>
  <c r="F4" i="1" l="1"/>
  <c r="P4" i="1" s="1"/>
  <c r="E48" i="1"/>
  <c r="F48" i="1"/>
  <c r="E47" i="1"/>
  <c r="H48" i="1" s="1"/>
  <c r="D34" i="1"/>
  <c r="C49" i="1" l="1"/>
  <c r="H49" i="1"/>
  <c r="D36" i="1"/>
  <c r="I4" i="1"/>
  <c r="J4" i="1" s="1"/>
  <c r="K4" i="1" s="1"/>
  <c r="I5" i="1"/>
  <c r="I6" i="1"/>
  <c r="I7" i="1"/>
  <c r="I8" i="1"/>
  <c r="J8" i="1" s="1"/>
  <c r="K8" i="1" s="1"/>
  <c r="I9" i="1"/>
  <c r="J9" i="1" s="1"/>
  <c r="K9" i="1" s="1"/>
  <c r="I10" i="1"/>
  <c r="J10" i="1" s="1"/>
  <c r="K10" i="1" s="1"/>
  <c r="I11" i="1"/>
  <c r="I12" i="1"/>
  <c r="J12" i="1" s="1"/>
  <c r="K12" i="1" s="1"/>
  <c r="I3" i="1"/>
  <c r="C4" i="1"/>
  <c r="D4" i="1" s="1"/>
  <c r="C5" i="1"/>
  <c r="D5" i="1" s="1"/>
  <c r="C6" i="1"/>
  <c r="D6" i="1" s="1"/>
  <c r="C7" i="1"/>
  <c r="D7" i="1" s="1"/>
  <c r="C8" i="1"/>
  <c r="D8" i="1" s="1"/>
  <c r="C9" i="1"/>
  <c r="D9" i="1" s="1"/>
  <c r="C10" i="1"/>
  <c r="D10" i="1" s="1"/>
  <c r="C11" i="1"/>
  <c r="D11" i="1" s="1"/>
  <c r="C12" i="1"/>
  <c r="D12" i="1" s="1"/>
  <c r="C3" i="1"/>
  <c r="D3" i="1" s="1"/>
  <c r="E6" i="1"/>
  <c r="E7" i="1"/>
  <c r="L8" i="1"/>
  <c r="L10" i="1"/>
  <c r="E10" i="1"/>
  <c r="E5" i="1"/>
  <c r="E12" i="1"/>
  <c r="E3" i="1"/>
  <c r="L12" i="1"/>
  <c r="E9" i="1"/>
  <c r="L9" i="1"/>
  <c r="E11" i="1"/>
  <c r="E8" i="1"/>
  <c r="L4" i="1"/>
  <c r="E49" i="1" l="1"/>
  <c r="F49" i="1"/>
  <c r="F7" i="1"/>
  <c r="C35" i="1" s="1"/>
  <c r="C37" i="1" s="1"/>
  <c r="J7" i="1"/>
  <c r="K7" i="1" s="1"/>
  <c r="F6" i="1"/>
  <c r="J6" i="1"/>
  <c r="K6" i="1" s="1"/>
  <c r="F5" i="1"/>
  <c r="J5" i="1"/>
  <c r="K5" i="1" s="1"/>
  <c r="F11" i="1"/>
  <c r="J11" i="1"/>
  <c r="K11" i="1" s="1"/>
  <c r="J3" i="1"/>
  <c r="K3" i="1" s="1"/>
  <c r="L7" i="1"/>
  <c r="L6" i="1"/>
  <c r="L5" i="1"/>
  <c r="L11" i="1"/>
  <c r="L3" i="1"/>
  <c r="C50" i="1" l="1"/>
  <c r="H50" i="1"/>
  <c r="M7" i="1"/>
  <c r="P7" i="1" s="1"/>
  <c r="T20" i="1" s="1"/>
  <c r="M6" i="1"/>
  <c r="P6" i="1" s="1"/>
  <c r="P17" i="1"/>
  <c r="M5" i="1"/>
  <c r="P5" i="1" s="1"/>
  <c r="M11" i="1"/>
  <c r="P11" i="1" s="1"/>
  <c r="B17" i="1"/>
  <c r="B24" i="1"/>
  <c r="B22" i="1"/>
  <c r="B21" i="1"/>
  <c r="B23" i="1"/>
  <c r="B25" i="1"/>
  <c r="B19" i="1"/>
  <c r="B20" i="1"/>
  <c r="B18" i="1"/>
  <c r="F50" i="1" l="1"/>
  <c r="E50" i="1"/>
  <c r="T16" i="1"/>
  <c r="T17" i="1" s="1"/>
  <c r="T18" i="1"/>
  <c r="P19" i="1"/>
  <c r="D35" i="1"/>
  <c r="D37" i="1" s="1"/>
  <c r="C51" i="1" l="1"/>
  <c r="H51" i="1"/>
  <c r="T19" i="1"/>
  <c r="P22" i="1" s="1"/>
  <c r="F51" i="1" l="1"/>
  <c r="E51" i="1"/>
  <c r="S23" i="1"/>
  <c r="H52" i="1" l="1"/>
  <c r="C52" i="1"/>
  <c r="E52" i="1" l="1"/>
  <c r="F52" i="1"/>
  <c r="C53" i="1" l="1"/>
  <c r="H53" i="1"/>
  <c r="F53" i="1" l="1"/>
  <c r="C54" i="1" s="1"/>
  <c r="E53" i="1"/>
  <c r="H54" i="1" s="1"/>
  <c r="E54" i="1" l="1"/>
  <c r="F54" i="1"/>
  <c r="C55" i="1" s="1"/>
  <c r="H55" i="1" l="1"/>
  <c r="F55" i="1"/>
  <c r="C56" i="1" s="1"/>
  <c r="E55" i="1"/>
  <c r="H56" i="1" l="1"/>
  <c r="E56" i="1"/>
  <c r="F56" i="1"/>
</calcChain>
</file>

<file path=xl/sharedStrings.xml><?xml version="1.0" encoding="utf-8"?>
<sst xmlns="http://schemas.openxmlformats.org/spreadsheetml/2006/main" count="58" uniqueCount="38">
  <si>
    <t>Spread</t>
  </si>
  <si>
    <t>RA</t>
  </si>
  <si>
    <t>Upfront</t>
  </si>
  <si>
    <t>Spread+1</t>
  </si>
  <si>
    <t>Risk Duration</t>
  </si>
  <si>
    <t>Year</t>
  </si>
  <si>
    <t>Forward Spread</t>
  </si>
  <si>
    <t>Excess Carry</t>
  </si>
  <si>
    <t>Slide</t>
  </si>
  <si>
    <t>Carry</t>
  </si>
  <si>
    <t>Time Value</t>
  </si>
  <si>
    <t>Sell 5Y</t>
  </si>
  <si>
    <t>Buy 6Y</t>
  </si>
  <si>
    <t>5s6s Steepener</t>
  </si>
  <si>
    <t>Buy 10Y</t>
  </si>
  <si>
    <t>National10Y</t>
  </si>
  <si>
    <t>National5Y</t>
  </si>
  <si>
    <t xml:space="preserve">Time Value  </t>
  </si>
  <si>
    <t>S(0,1)</t>
  </si>
  <si>
    <t>S(1,2)</t>
  </si>
  <si>
    <t>S(2,3)</t>
  </si>
  <si>
    <t>S(3,4)</t>
  </si>
  <si>
    <t>S(4,5)</t>
  </si>
  <si>
    <t>S(5,6)</t>
  </si>
  <si>
    <t>S(6,7)</t>
  </si>
  <si>
    <t>S(7,8)</t>
  </si>
  <si>
    <t>S(8,9)</t>
  </si>
  <si>
    <t>S(9,10)</t>
  </si>
  <si>
    <t>Problem 1</t>
  </si>
  <si>
    <t>Problem 2</t>
  </si>
  <si>
    <t>Problem 3</t>
  </si>
  <si>
    <t>Par Spread</t>
  </si>
  <si>
    <t>Lambda</t>
  </si>
  <si>
    <t>1-Lambda</t>
  </si>
  <si>
    <t>Upfront(Target)</t>
  </si>
  <si>
    <t>Upfront(Current)</t>
  </si>
  <si>
    <t>1-Lambda/1+r</t>
  </si>
  <si>
    <t>Par Spread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</si>
</sst>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0.0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0" fontId="0" fillId="3" borderId="0" xfId="0" applyFill="1"/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43" fontId="0" fillId="2" borderId="0" xfId="1" applyFont="1" applyFill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1Y Forward Spread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5188963127068264E-2"/>
          <c:y val="0.11112970219347136"/>
          <c:w val="0.93738749373743979"/>
          <c:h val="0.75268301081214994"/>
        </c:manualLayout>
      </c:layout>
      <c:lineChart>
        <c:grouping val="standard"/>
        <c:varyColors val="0"/>
        <c:ser>
          <c:idx val="0"/>
          <c:order val="0"/>
          <c:tx>
            <c:strRef>
              <c:f>Sheet1!$B$15</c:f>
              <c:strCache>
                <c:ptCount val="1"/>
                <c:pt idx="0">
                  <c:v>Forward Spread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4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Sheet1!$A$16:$A$25</c:f>
              <c:strCache>
                <c:ptCount val="10"/>
                <c:pt idx="0">
                  <c:v>S(0,1)</c:v>
                </c:pt>
                <c:pt idx="1">
                  <c:v>S(1,2)</c:v>
                </c:pt>
                <c:pt idx="2">
                  <c:v>S(2,3)</c:v>
                </c:pt>
                <c:pt idx="3">
                  <c:v>S(3,4)</c:v>
                </c:pt>
                <c:pt idx="4">
                  <c:v>S(4,5)</c:v>
                </c:pt>
                <c:pt idx="5">
                  <c:v>S(5,6)</c:v>
                </c:pt>
                <c:pt idx="6">
                  <c:v>S(6,7)</c:v>
                </c:pt>
                <c:pt idx="7">
                  <c:v>S(7,8)</c:v>
                </c:pt>
                <c:pt idx="8">
                  <c:v>S(8,9)</c:v>
                </c:pt>
                <c:pt idx="9">
                  <c:v>S(9,10)</c:v>
                </c:pt>
              </c:strCache>
            </c:strRef>
          </c:cat>
          <c:val>
            <c:numRef>
              <c:f>Sheet1!$B$16:$B$25</c:f>
              <c:numCache>
                <c:formatCode>General</c:formatCode>
                <c:ptCount val="10"/>
                <c:pt idx="0">
                  <c:v>30</c:v>
                </c:pt>
                <c:pt idx="1">
                  <c:v>70.50842797742709</c:v>
                </c:pt>
                <c:pt idx="2">
                  <c:v>111.97113294825218</c:v>
                </c:pt>
                <c:pt idx="3">
                  <c:v>154.89925664694022</c:v>
                </c:pt>
                <c:pt idx="4">
                  <c:v>199.90690115393826</c:v>
                </c:pt>
                <c:pt idx="5">
                  <c:v>176.61213484910547</c:v>
                </c:pt>
                <c:pt idx="6">
                  <c:v>200.31642027849145</c:v>
                </c:pt>
                <c:pt idx="7">
                  <c:v>225.29847776854334</c:v>
                </c:pt>
                <c:pt idx="8">
                  <c:v>251.85729187231095</c:v>
                </c:pt>
                <c:pt idx="9">
                  <c:v>280.36673295418456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A4-47E5-BD40-F46B17E72C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8198800"/>
        <c:axId val="788199440"/>
      </c:lineChart>
      <c:catAx>
        <c:axId val="788198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199440"/>
        <c:crosses val="autoZero"/>
        <c:auto val="1"/>
        <c:lblAlgn val="ctr"/>
        <c:lblOffset val="100"/>
        <c:noMultiLvlLbl val="0"/>
      </c:catAx>
      <c:valAx>
        <c:axId val="788199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198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Sheet1!$P$45</c:f>
              <c:strCache>
                <c:ptCount val="1"/>
                <c:pt idx="0">
                  <c:v>Par Spread Curve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Sheet1!$P$46:$P$55</c:f>
              <c:numCache>
                <c:formatCode>0.00</c:formatCode>
                <c:ptCount val="10"/>
                <c:pt idx="0">
                  <c:v>30</c:v>
                </c:pt>
                <c:pt idx="1">
                  <c:v>49.046224959159147</c:v>
                </c:pt>
                <c:pt idx="2">
                  <c:v>71.194973193495542</c:v>
                </c:pt>
                <c:pt idx="3">
                  <c:v>90.663733715246238</c:v>
                </c:pt>
                <c:pt idx="4">
                  <c:v>108.98734740118384</c:v>
                </c:pt>
                <c:pt idx="5">
                  <c:v>119.71665183304182</c:v>
                </c:pt>
                <c:pt idx="6">
                  <c:v>129.3934171529269</c:v>
                </c:pt>
                <c:pt idx="7">
                  <c:v>138.85833951703364</c:v>
                </c:pt>
                <c:pt idx="8">
                  <c:v>147.92990984944274</c:v>
                </c:pt>
                <c:pt idx="9">
                  <c:v>158.63655686611102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0C-4CD4-8FDF-F99D87A0B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8617232"/>
        <c:axId val="778621072"/>
      </c:lineChart>
      <c:catAx>
        <c:axId val="7786172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accent3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621072"/>
        <c:crosses val="autoZero"/>
        <c:auto val="1"/>
        <c:lblAlgn val="ctr"/>
        <c:lblOffset val="100"/>
        <c:noMultiLvlLbl val="0"/>
      </c:catAx>
      <c:valAx>
        <c:axId val="77862107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solidFill>
              <a:schemeClr val="accent3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61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407202</xdr:colOff>
      <xdr:row>13</xdr:row>
      <xdr:rowOff>114824</xdr:rowOff>
    </xdr:from>
    <xdr:to>
      <xdr:col>10</xdr:col>
      <xdr:colOff>833001</xdr:colOff>
      <xdr:row>29</xdr:row>
      <xdr:rowOff>84539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16DFDA1-42AE-481B-A523-E6D764E89D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542925</xdr:colOff>
      <xdr:row>56</xdr:row>
      <xdr:rowOff>161925</xdr:rowOff>
    </xdr:from>
    <xdr:to>
      <xdr:col>7</xdr:col>
      <xdr:colOff>269875</xdr:colOff>
      <xdr:row>71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A6B3ECC-475E-4273-A364-4AC9EA28BD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3BFD5-2D78-4093-B8C3-BC17E5916203}">
  <sheetPr codeName="Sheet1"/>
  <dimension ref="A1:T56"/>
  <sheetViews>
    <sheetView tabSelected="1" topLeftCell="L1" zoomScaleNormal="100" workbookViewId="0">
      <selection activeCell="S23" sqref="S23"/>
    </sheetView>
  </sheetViews>
  <sheetFormatPr baseColWidth="10" defaultColWidth="8.83203125" defaultRowHeight="15" x14ac:dyDescent="0.2"/>
  <cols>
    <col min="1" max="1" width="8.1640625" customWidth="1"/>
    <col min="2" max="2" width="14.6640625" customWidth="1"/>
    <col min="3" max="3" width="10.6640625" customWidth="1"/>
    <col min="4" max="4" width="12.6640625" bestFit="1" customWidth="1"/>
    <col min="5" max="5" width="10.5" customWidth="1"/>
    <col min="6" max="6" width="10.83203125" customWidth="1"/>
    <col min="7" max="7" width="15" customWidth="1"/>
    <col min="8" max="8" width="14.83203125" style="1" customWidth="1"/>
    <col min="9" max="9" width="14.1640625" customWidth="1"/>
    <col min="10" max="10" width="11.1640625" customWidth="1"/>
    <col min="11" max="11" width="12.1640625" bestFit="1" customWidth="1"/>
    <col min="12" max="12" width="10.83203125" customWidth="1"/>
    <col min="13" max="14" width="9.5" customWidth="1"/>
    <col min="15" max="15" width="11.5" customWidth="1"/>
    <col min="16" max="16" width="15.83203125" customWidth="1"/>
    <col min="19" max="19" width="11" customWidth="1"/>
  </cols>
  <sheetData>
    <row r="1" spans="1:20" ht="16" x14ac:dyDescent="0.2">
      <c r="A1" s="7" t="s">
        <v>28</v>
      </c>
      <c r="B1" s="8"/>
      <c r="C1" s="8"/>
      <c r="D1" s="8"/>
      <c r="E1" s="8"/>
      <c r="F1" s="8"/>
    </row>
    <row r="2" spans="1:20" x14ac:dyDescent="0.2">
      <c r="A2" s="1" t="s">
        <v>5</v>
      </c>
      <c r="B2" s="1" t="s">
        <v>0</v>
      </c>
      <c r="C2" s="1" t="s">
        <v>32</v>
      </c>
      <c r="D2" s="1"/>
      <c r="E2" s="1" t="s">
        <v>1</v>
      </c>
      <c r="F2" s="1" t="s">
        <v>2</v>
      </c>
      <c r="G2" s="1"/>
      <c r="H2" s="1" t="s">
        <v>5</v>
      </c>
      <c r="I2" s="1" t="s">
        <v>3</v>
      </c>
      <c r="J2" s="1" t="s">
        <v>32</v>
      </c>
      <c r="K2" s="1"/>
      <c r="L2" s="1" t="s">
        <v>1</v>
      </c>
      <c r="M2" s="1" t="s">
        <v>2</v>
      </c>
      <c r="N2" s="1"/>
      <c r="O2" s="1" t="s">
        <v>5</v>
      </c>
      <c r="P2" s="1" t="s">
        <v>4</v>
      </c>
    </row>
    <row r="3" spans="1:20" x14ac:dyDescent="0.2">
      <c r="A3" s="1">
        <v>1</v>
      </c>
      <c r="B3" s="1">
        <v>30</v>
      </c>
      <c r="C3" s="3">
        <f>(B3/0.6)/10000</f>
        <v>5.0000000000000001E-3</v>
      </c>
      <c r="D3" s="1">
        <f>(1-C3)/1.01</f>
        <v>0.98514851485148514</v>
      </c>
      <c r="E3" s="1">
        <f>SumofGeom(D3,D3,1)</f>
        <v>0.98514851485148514</v>
      </c>
      <c r="F3" s="3">
        <f>(30-100)*E3/10000</f>
        <v>-6.8960396039603961E-3</v>
      </c>
      <c r="G3" s="3"/>
      <c r="H3" s="1">
        <v>1</v>
      </c>
      <c r="I3" s="1">
        <f>B3+1</f>
        <v>31</v>
      </c>
      <c r="J3" s="3">
        <f>(I3/0.6)/10000</f>
        <v>5.1666666666666675E-3</v>
      </c>
      <c r="K3" s="1">
        <f>(1-J3)/1.01</f>
        <v>0.98498349834983501</v>
      </c>
      <c r="L3" s="1">
        <f>SumofGeom(K3,K3,A3)</f>
        <v>0.98498349834983501</v>
      </c>
      <c r="M3" s="3">
        <f>(I3-100)*L3/10000</f>
        <v>-6.7963861386138615E-3</v>
      </c>
      <c r="N3" s="3"/>
      <c r="O3" s="1">
        <v>1</v>
      </c>
      <c r="P3" s="1">
        <f>M3-F3</f>
        <v>9.9653465346534638E-5</v>
      </c>
    </row>
    <row r="4" spans="1:20" x14ac:dyDescent="0.2">
      <c r="A4" s="1">
        <v>2</v>
      </c>
      <c r="B4" s="1">
        <v>50</v>
      </c>
      <c r="C4" s="3">
        <f t="shared" ref="C4:C12" si="0">(B4/0.6)/10000</f>
        <v>8.333333333333335E-3</v>
      </c>
      <c r="D4" s="1">
        <f>(1-C4)/1.01</f>
        <v>0.98184818481848191</v>
      </c>
      <c r="E4" s="1">
        <f>SumofGeom(D4,D4,2)</f>
        <v>1.9458740428498316</v>
      </c>
      <c r="F4" s="3">
        <f>(B4-100)*E4/10000</f>
        <v>-9.7293702142491577E-3</v>
      </c>
      <c r="G4" s="3"/>
      <c r="H4" s="1">
        <v>2</v>
      </c>
      <c r="I4" s="1">
        <f t="shared" ref="I4:I12" si="1">B4+1</f>
        <v>51</v>
      </c>
      <c r="J4" s="3">
        <f t="shared" ref="J4:J12" si="2">(I4/0.6)/10000</f>
        <v>8.5000000000000006E-3</v>
      </c>
      <c r="K4" s="1">
        <f>(1-J4)/1.01</f>
        <v>0.98168316831683167</v>
      </c>
      <c r="L4" s="1">
        <f>SumofGeom(K4,K4,A4)</f>
        <v>1.9453850112734015</v>
      </c>
      <c r="M4" s="3">
        <f>(I4-100)*L4/10000</f>
        <v>-9.5323865552396671E-3</v>
      </c>
      <c r="N4" s="3"/>
      <c r="O4" s="1">
        <v>2</v>
      </c>
      <c r="P4" s="1">
        <f t="shared" ref="P4:P12" si="3">M4-F4</f>
        <v>1.9698365900949061E-4</v>
      </c>
    </row>
    <row r="5" spans="1:20" x14ac:dyDescent="0.2">
      <c r="A5" s="1">
        <v>3</v>
      </c>
      <c r="B5" s="1">
        <v>70</v>
      </c>
      <c r="C5" s="3">
        <f t="shared" si="0"/>
        <v>1.1666666666666667E-2</v>
      </c>
      <c r="D5" s="1">
        <f t="shared" ref="D5:D12" si="4">(1-C5)/1.01</f>
        <v>0.97854785478547845</v>
      </c>
      <c r="E5" s="1">
        <f>SumofGeom(D5,D5,3)</f>
        <v>2.8731180346901155</v>
      </c>
      <c r="F5" s="3">
        <f>(B5-100)*E5/10000</f>
        <v>-8.619354104070347E-3</v>
      </c>
      <c r="G5" s="3"/>
      <c r="H5" s="1">
        <v>3</v>
      </c>
      <c r="I5" s="1">
        <f t="shared" si="1"/>
        <v>71</v>
      </c>
      <c r="J5" s="3">
        <f t="shared" si="2"/>
        <v>1.1833333333333335E-2</v>
      </c>
      <c r="K5" s="1">
        <f t="shared" ref="K5:K12" si="5">(1-J5)/1.01</f>
        <v>0.97838283828382833</v>
      </c>
      <c r="L5" s="1">
        <f>SumofGeom(K5,K5,A5)</f>
        <v>2.8721561346896221</v>
      </c>
      <c r="M5" s="3">
        <f t="shared" ref="M5:M12" si="6">(I5-100)*L5/10000</f>
        <v>-8.3292527905999038E-3</v>
      </c>
      <c r="N5" s="3"/>
      <c r="O5" s="1">
        <v>3</v>
      </c>
      <c r="P5" s="1">
        <f t="shared" si="3"/>
        <v>2.9010131347044325E-4</v>
      </c>
    </row>
    <row r="6" spans="1:20" x14ac:dyDescent="0.2">
      <c r="A6" s="1">
        <v>4</v>
      </c>
      <c r="B6" s="1">
        <v>90</v>
      </c>
      <c r="C6" s="3">
        <f t="shared" si="0"/>
        <v>1.4999999999999999E-2</v>
      </c>
      <c r="D6" s="1">
        <f t="shared" si="4"/>
        <v>0.97524752475247523</v>
      </c>
      <c r="E6" s="1">
        <f>SumofGeom(D6,D6,4)</f>
        <v>3.7585266458611875</v>
      </c>
      <c r="F6" s="3">
        <f t="shared" ref="F6:F12" si="7">(B6-100)*E6/10000</f>
        <v>-3.7585266458611878E-3</v>
      </c>
      <c r="G6" s="3"/>
      <c r="H6" s="1">
        <v>4</v>
      </c>
      <c r="I6" s="1">
        <f t="shared" si="1"/>
        <v>91</v>
      </c>
      <c r="J6" s="3">
        <f t="shared" si="2"/>
        <v>1.5166666666666669E-2</v>
      </c>
      <c r="K6" s="1">
        <f t="shared" si="5"/>
        <v>0.9750825082508251</v>
      </c>
      <c r="L6" s="1">
        <f t="shared" ref="L6:L12" si="8">SumofGeom(K6,K6,A6)</f>
        <v>3.7569569279174653</v>
      </c>
      <c r="M6" s="3">
        <f t="shared" si="6"/>
        <v>-3.3812612351257188E-3</v>
      </c>
      <c r="N6" s="3"/>
      <c r="O6" s="1">
        <v>4</v>
      </c>
      <c r="P6" s="1">
        <f t="shared" si="3"/>
        <v>3.7726541073546897E-4</v>
      </c>
    </row>
    <row r="7" spans="1:20" x14ac:dyDescent="0.2">
      <c r="A7" s="1">
        <v>5</v>
      </c>
      <c r="B7" s="1">
        <v>110</v>
      </c>
      <c r="C7" s="3">
        <f t="shared" si="0"/>
        <v>1.8333333333333333E-2</v>
      </c>
      <c r="D7" s="1">
        <f t="shared" si="4"/>
        <v>0.971947194719472</v>
      </c>
      <c r="E7" s="1">
        <f>SumofGeom(D7,D7,5)</f>
        <v>4.594619670450224</v>
      </c>
      <c r="F7" s="3">
        <f t="shared" si="7"/>
        <v>4.5946196704502243E-3</v>
      </c>
      <c r="G7" s="3"/>
      <c r="H7" s="1">
        <v>5</v>
      </c>
      <c r="I7" s="1">
        <f t="shared" si="1"/>
        <v>111</v>
      </c>
      <c r="J7" s="3">
        <f t="shared" si="2"/>
        <v>1.8499999999999999E-2</v>
      </c>
      <c r="K7" s="1">
        <f t="shared" si="5"/>
        <v>0.97178217821782176</v>
      </c>
      <c r="L7" s="1">
        <f t="shared" si="8"/>
        <v>4.592324344050831</v>
      </c>
      <c r="M7" s="3">
        <f t="shared" si="6"/>
        <v>5.0515567784559139E-3</v>
      </c>
      <c r="N7" s="3"/>
      <c r="O7" s="1">
        <v>5</v>
      </c>
      <c r="P7" s="1">
        <f t="shared" si="3"/>
        <v>4.569371080056896E-4</v>
      </c>
    </row>
    <row r="8" spans="1:20" x14ac:dyDescent="0.2">
      <c r="A8" s="1">
        <v>6</v>
      </c>
      <c r="B8" s="1">
        <v>120</v>
      </c>
      <c r="C8" s="3">
        <f t="shared" si="0"/>
        <v>0.02</v>
      </c>
      <c r="D8" s="1">
        <f t="shared" si="4"/>
        <v>0.97029702970297027</v>
      </c>
      <c r="E8" s="1">
        <f>SumofGeom(D8,D8,6)</f>
        <v>5.4062159267470005</v>
      </c>
      <c r="F8" s="3">
        <f t="shared" si="7"/>
        <v>1.0812431853494002E-2</v>
      </c>
      <c r="G8" s="3"/>
      <c r="H8" s="1">
        <v>6</v>
      </c>
      <c r="I8" s="1">
        <f t="shared" si="1"/>
        <v>121</v>
      </c>
      <c r="J8" s="3">
        <f t="shared" si="2"/>
        <v>2.016666666666667E-2</v>
      </c>
      <c r="K8" s="1">
        <f t="shared" si="5"/>
        <v>0.97013201320132014</v>
      </c>
      <c r="L8" s="1">
        <f t="shared" si="8"/>
        <v>5.4030796267826942</v>
      </c>
      <c r="M8" s="3">
        <f t="shared" si="6"/>
        <v>1.1346467216243657E-2</v>
      </c>
      <c r="N8" s="3"/>
      <c r="O8" s="1">
        <v>6</v>
      </c>
      <c r="P8" s="1">
        <f t="shared" si="3"/>
        <v>5.3403536274965538E-4</v>
      </c>
    </row>
    <row r="9" spans="1:20" x14ac:dyDescent="0.2">
      <c r="A9" s="1">
        <v>7</v>
      </c>
      <c r="B9" s="1">
        <v>130</v>
      </c>
      <c r="C9" s="3">
        <f t="shared" si="0"/>
        <v>2.1666666666666667E-2</v>
      </c>
      <c r="D9" s="1">
        <f t="shared" si="4"/>
        <v>0.96864686468646855</v>
      </c>
      <c r="E9" s="1">
        <f>SumofGeom(D9,D9,7)</f>
        <v>6.1750571028670906</v>
      </c>
      <c r="F9" s="3">
        <f t="shared" si="7"/>
        <v>1.8525171308601273E-2</v>
      </c>
      <c r="G9" s="3"/>
      <c r="H9" s="1">
        <v>7</v>
      </c>
      <c r="I9" s="1">
        <f t="shared" si="1"/>
        <v>131</v>
      </c>
      <c r="J9" s="3">
        <f t="shared" si="2"/>
        <v>2.1833333333333333E-2</v>
      </c>
      <c r="K9" s="1">
        <f t="shared" si="5"/>
        <v>0.96848184818481842</v>
      </c>
      <c r="L9" s="1">
        <f t="shared" si="8"/>
        <v>6.1709845109458419</v>
      </c>
      <c r="M9" s="3">
        <f t="shared" si="6"/>
        <v>1.9130051983932111E-2</v>
      </c>
      <c r="N9" s="3"/>
      <c r="O9" s="1">
        <v>7</v>
      </c>
      <c r="P9" s="1">
        <f t="shared" si="3"/>
        <v>6.0488067533083847E-4</v>
      </c>
    </row>
    <row r="10" spans="1:20" x14ac:dyDescent="0.2">
      <c r="A10" s="1">
        <v>8</v>
      </c>
      <c r="B10" s="1">
        <v>140</v>
      </c>
      <c r="C10" s="3">
        <f t="shared" si="0"/>
        <v>2.3333333333333334E-2</v>
      </c>
      <c r="D10" s="1">
        <f t="shared" si="4"/>
        <v>0.96699669966996704</v>
      </c>
      <c r="E10" s="1">
        <f>SumofGeom(D10,D10,8)</f>
        <v>6.8989923083256288</v>
      </c>
      <c r="F10" s="3">
        <f t="shared" si="7"/>
        <v>2.7595969233302514E-2</v>
      </c>
      <c r="G10" s="3"/>
      <c r="H10" s="1">
        <v>8</v>
      </c>
      <c r="I10" s="1">
        <f t="shared" si="1"/>
        <v>141</v>
      </c>
      <c r="J10" s="3">
        <f t="shared" si="2"/>
        <v>2.35E-2</v>
      </c>
      <c r="K10" s="1">
        <f t="shared" si="5"/>
        <v>0.9668316831683168</v>
      </c>
      <c r="L10" s="1">
        <f t="shared" si="8"/>
        <v>6.8939035935821664</v>
      </c>
      <c r="M10" s="3">
        <f t="shared" si="6"/>
        <v>2.8265004733686885E-2</v>
      </c>
      <c r="N10" s="3"/>
      <c r="O10" s="1">
        <v>8</v>
      </c>
      <c r="P10" s="1">
        <f t="shared" si="3"/>
        <v>6.6903550038437121E-4</v>
      </c>
    </row>
    <row r="11" spans="1:20" x14ac:dyDescent="0.2">
      <c r="A11" s="1">
        <v>9</v>
      </c>
      <c r="B11" s="1">
        <v>150</v>
      </c>
      <c r="C11" s="3">
        <f t="shared" si="0"/>
        <v>2.5000000000000001E-2</v>
      </c>
      <c r="D11" s="1">
        <f t="shared" si="4"/>
        <v>0.96534653465346532</v>
      </c>
      <c r="E11" s="1">
        <f>SumofGeom(D11,D11,9)</f>
        <v>7.5763117403967506</v>
      </c>
      <c r="F11" s="3">
        <f t="shared" si="7"/>
        <v>3.7881558701983759E-2</v>
      </c>
      <c r="G11" s="3"/>
      <c r="H11" s="1">
        <v>9</v>
      </c>
      <c r="I11" s="1">
        <f t="shared" si="1"/>
        <v>151</v>
      </c>
      <c r="J11" s="3">
        <f t="shared" si="2"/>
        <v>2.5166666666666667E-2</v>
      </c>
      <c r="K11" s="1">
        <f t="shared" si="5"/>
        <v>0.96518151815181519</v>
      </c>
      <c r="L11" s="1">
        <f t="shared" si="8"/>
        <v>7.5701429675614555</v>
      </c>
      <c r="M11" s="3">
        <f t="shared" si="6"/>
        <v>3.8607729134563423E-2</v>
      </c>
      <c r="N11" s="3"/>
      <c r="O11" s="1">
        <v>9</v>
      </c>
      <c r="P11" s="1">
        <f t="shared" si="3"/>
        <v>7.2617043257966474E-4</v>
      </c>
    </row>
    <row r="12" spans="1:20" x14ac:dyDescent="0.2">
      <c r="A12" s="1">
        <v>10</v>
      </c>
      <c r="B12" s="1">
        <v>160</v>
      </c>
      <c r="C12" s="3">
        <f t="shared" si="0"/>
        <v>2.6666666666666668E-2</v>
      </c>
      <c r="D12" s="1">
        <f t="shared" si="4"/>
        <v>0.9636963696369637</v>
      </c>
      <c r="E12" s="1">
        <f>SumofGeom(D12,D12,10)</f>
        <v>8.2057474286845231</v>
      </c>
      <c r="F12" s="3">
        <f t="shared" si="7"/>
        <v>4.9234484572107141E-2</v>
      </c>
      <c r="G12" s="3"/>
      <c r="H12" s="1">
        <v>10</v>
      </c>
      <c r="I12" s="1">
        <f t="shared" si="1"/>
        <v>161</v>
      </c>
      <c r="J12" s="3">
        <f t="shared" si="2"/>
        <v>2.6833333333333338E-2</v>
      </c>
      <c r="K12" s="1">
        <f t="shared" si="5"/>
        <v>0.96353135313531346</v>
      </c>
      <c r="L12" s="1">
        <f t="shared" si="8"/>
        <v>8.1984506979046898</v>
      </c>
      <c r="M12" s="3">
        <f t="shared" si="6"/>
        <v>5.0010549257218609E-2</v>
      </c>
      <c r="N12" s="3"/>
      <c r="O12" s="1">
        <v>10</v>
      </c>
      <c r="P12" s="1">
        <f t="shared" si="3"/>
        <v>7.7606468511146748E-4</v>
      </c>
    </row>
    <row r="15" spans="1:20" x14ac:dyDescent="0.2">
      <c r="A15" s="1"/>
      <c r="B15" s="1" t="s">
        <v>6</v>
      </c>
      <c r="O15" t="s">
        <v>11</v>
      </c>
      <c r="S15" t="s">
        <v>14</v>
      </c>
    </row>
    <row r="16" spans="1:20" x14ac:dyDescent="0.2">
      <c r="A16" s="1" t="s">
        <v>18</v>
      </c>
      <c r="B16" s="1">
        <v>30</v>
      </c>
      <c r="O16" t="s">
        <v>7</v>
      </c>
      <c r="P16">
        <f>0.0868%*P20</f>
        <v>8680</v>
      </c>
      <c r="S16" t="s">
        <v>7</v>
      </c>
      <c r="T16">
        <f>0.4145%*T20</f>
        <v>24405.237720764784</v>
      </c>
    </row>
    <row r="17" spans="1:20" x14ac:dyDescent="0.2">
      <c r="A17" s="1" t="s">
        <v>19</v>
      </c>
      <c r="B17" s="1">
        <f>(E4*B4-E3*B3)/(E4-E3)</f>
        <v>70.50842797742709</v>
      </c>
      <c r="O17" t="s">
        <v>8</v>
      </c>
      <c r="P17">
        <f>(F7-F6)*P20-P16</f>
        <v>74851.463163114109</v>
      </c>
      <c r="S17" t="s">
        <v>8</v>
      </c>
      <c r="T17">
        <f>(F12-F11)*T20-T16</f>
        <v>42439.359308567335</v>
      </c>
    </row>
    <row r="18" spans="1:20" x14ac:dyDescent="0.2">
      <c r="A18" s="1" t="s">
        <v>20</v>
      </c>
      <c r="B18" s="1">
        <f t="shared" ref="B18:B25" si="9">(E5*B5-E4*B4)/(E5-E4)</f>
        <v>111.97113294825218</v>
      </c>
      <c r="O18" t="s">
        <v>9</v>
      </c>
      <c r="P18">
        <f>1%*P20</f>
        <v>100000</v>
      </c>
      <c r="S18" t="s">
        <v>9</v>
      </c>
      <c r="T18">
        <f>1%*T20</f>
        <v>58878.739977719633</v>
      </c>
    </row>
    <row r="19" spans="1:20" x14ac:dyDescent="0.2">
      <c r="A19" s="1" t="s">
        <v>21</v>
      </c>
      <c r="B19" s="1">
        <f t="shared" si="9"/>
        <v>154.89925664694022</v>
      </c>
      <c r="O19" t="s">
        <v>10</v>
      </c>
      <c r="P19">
        <f>P18+P17+P16</f>
        <v>183531.46316311409</v>
      </c>
      <c r="S19" t="s">
        <v>10</v>
      </c>
      <c r="T19">
        <f>T16+T17+T18</f>
        <v>125723.33700705174</v>
      </c>
    </row>
    <row r="20" spans="1:20" x14ac:dyDescent="0.2">
      <c r="A20" s="1" t="s">
        <v>22</v>
      </c>
      <c r="B20" s="1">
        <f t="shared" si="9"/>
        <v>199.90690115393826</v>
      </c>
      <c r="O20" t="s">
        <v>16</v>
      </c>
      <c r="P20">
        <v>10000000</v>
      </c>
      <c r="S20" t="s">
        <v>15</v>
      </c>
      <c r="T20">
        <f>P20*P7/P12</f>
        <v>5887873.9977719635</v>
      </c>
    </row>
    <row r="21" spans="1:20" x14ac:dyDescent="0.2">
      <c r="A21" s="1" t="s">
        <v>23</v>
      </c>
      <c r="B21" s="1">
        <f t="shared" si="9"/>
        <v>176.61213484910547</v>
      </c>
    </row>
    <row r="22" spans="1:20" x14ac:dyDescent="0.2">
      <c r="A22" s="1" t="s">
        <v>24</v>
      </c>
      <c r="B22" s="1">
        <f t="shared" si="9"/>
        <v>200.31642027849145</v>
      </c>
      <c r="O22" t="s">
        <v>17</v>
      </c>
      <c r="P22">
        <f>P19-T19</f>
        <v>57808.126156062353</v>
      </c>
    </row>
    <row r="23" spans="1:20" x14ac:dyDescent="0.2">
      <c r="A23" s="1" t="s">
        <v>25</v>
      </c>
      <c r="B23" s="1">
        <f t="shared" si="9"/>
        <v>225.29847776854334</v>
      </c>
      <c r="S23">
        <f>P19/(T19/T20)</f>
        <v>8595143.5545377843</v>
      </c>
    </row>
    <row r="24" spans="1:20" x14ac:dyDescent="0.2">
      <c r="A24" s="1" t="s">
        <v>26</v>
      </c>
      <c r="B24" s="1">
        <f t="shared" si="9"/>
        <v>251.85729187231095</v>
      </c>
    </row>
    <row r="25" spans="1:20" x14ac:dyDescent="0.2">
      <c r="A25" s="1" t="s">
        <v>27</v>
      </c>
      <c r="B25" s="1">
        <f t="shared" si="9"/>
        <v>280.36673295418456</v>
      </c>
      <c r="P25" s="2"/>
    </row>
    <row r="31" spans="1:20" x14ac:dyDescent="0.2">
      <c r="A31" s="9" t="s">
        <v>29</v>
      </c>
      <c r="B31" s="9"/>
      <c r="C31" s="9"/>
      <c r="D31" s="9"/>
      <c r="E31" s="9"/>
      <c r="F31" s="9"/>
    </row>
    <row r="32" spans="1:20" x14ac:dyDescent="0.2">
      <c r="B32" s="1"/>
      <c r="C32" s="6" t="s">
        <v>13</v>
      </c>
      <c r="D32" s="6"/>
      <c r="E32" s="6"/>
    </row>
    <row r="33" spans="1:17" x14ac:dyDescent="0.2">
      <c r="B33" s="1"/>
      <c r="C33" s="1" t="s">
        <v>11</v>
      </c>
      <c r="D33" s="1" t="s">
        <v>12</v>
      </c>
      <c r="E33" s="1" t="s">
        <v>12</v>
      </c>
    </row>
    <row r="34" spans="1:17" x14ac:dyDescent="0.2">
      <c r="B34" s="1" t="s">
        <v>7</v>
      </c>
      <c r="C34" s="1">
        <f>0.0868%*C38</f>
        <v>8680</v>
      </c>
      <c r="D34" s="1">
        <f>(108.1243-91.43425)*1000</f>
        <v>16690.05</v>
      </c>
      <c r="E34" s="1">
        <f>0.1669%*E38</f>
        <v>16690</v>
      </c>
    </row>
    <row r="35" spans="1:17" x14ac:dyDescent="0.2">
      <c r="B35" s="1" t="s">
        <v>8</v>
      </c>
      <c r="C35" s="1">
        <f>(F7-F6)*C38-C34</f>
        <v>74851.463163114109</v>
      </c>
      <c r="D35" s="1">
        <f>(F8-F7)*1000-D34</f>
        <v>-16683.832187816955</v>
      </c>
      <c r="E35" s="1">
        <f>(F8-F7)*E38-E34</f>
        <v>45488.121830437776</v>
      </c>
    </row>
    <row r="36" spans="1:17" x14ac:dyDescent="0.2">
      <c r="B36" s="1" t="s">
        <v>9</v>
      </c>
      <c r="C36" s="1">
        <f>1%*C38</f>
        <v>100000</v>
      </c>
      <c r="D36" s="1">
        <f>100*1000</f>
        <v>100000</v>
      </c>
      <c r="E36" s="1">
        <f>1%*E38</f>
        <v>100000</v>
      </c>
    </row>
    <row r="37" spans="1:17" x14ac:dyDescent="0.2">
      <c r="B37" s="1" t="s">
        <v>10</v>
      </c>
      <c r="C37" s="1">
        <f>C34+C35+C36</f>
        <v>183531.46316311409</v>
      </c>
      <c r="D37" s="1">
        <f>-(D34+D35+D36)</f>
        <v>-100006.21781218305</v>
      </c>
      <c r="E37" s="1">
        <f>E34+E35+E36</f>
        <v>162178.12183043777</v>
      </c>
    </row>
    <row r="38" spans="1:17" x14ac:dyDescent="0.2">
      <c r="B38" s="1" t="s">
        <v>16</v>
      </c>
      <c r="C38" s="1">
        <v>10000000</v>
      </c>
      <c r="D38" s="1"/>
      <c r="E38" s="1">
        <v>10000000</v>
      </c>
    </row>
    <row r="39" spans="1:17" x14ac:dyDescent="0.2">
      <c r="B39" s="1"/>
      <c r="C39" s="1"/>
      <c r="D39" s="1"/>
      <c r="E39" s="1"/>
    </row>
    <row r="40" spans="1:17" x14ac:dyDescent="0.2">
      <c r="B40" s="1" t="s">
        <v>10</v>
      </c>
      <c r="C40" s="1">
        <f>C37-E37</f>
        <v>21353.341332676326</v>
      </c>
      <c r="D40" s="1"/>
      <c r="E40" s="1"/>
    </row>
    <row r="44" spans="1:17" x14ac:dyDescent="0.2">
      <c r="A44" s="8" t="s">
        <v>30</v>
      </c>
      <c r="B44" s="8"/>
      <c r="C44" s="8"/>
      <c r="D44" s="8"/>
      <c r="E44" s="8"/>
      <c r="F44" s="8"/>
    </row>
    <row r="45" spans="1:17" x14ac:dyDescent="0.2">
      <c r="O45" s="1" t="s">
        <v>5</v>
      </c>
      <c r="P45" s="1" t="s">
        <v>37</v>
      </c>
    </row>
    <row r="46" spans="1:17" x14ac:dyDescent="0.2">
      <c r="A46" t="s">
        <v>5</v>
      </c>
      <c r="B46" s="4" t="s">
        <v>31</v>
      </c>
      <c r="C46" t="s">
        <v>32</v>
      </c>
      <c r="E46" t="s">
        <v>36</v>
      </c>
      <c r="F46" t="s">
        <v>33</v>
      </c>
      <c r="G46" t="s">
        <v>34</v>
      </c>
      <c r="H46" t="s">
        <v>35</v>
      </c>
      <c r="O46" s="1">
        <v>1</v>
      </c>
      <c r="P46" s="5">
        <f>Q46*10000</f>
        <v>30</v>
      </c>
      <c r="Q46">
        <f>0.003</f>
        <v>3.0000000000000001E-3</v>
      </c>
    </row>
    <row r="47" spans="1:17" x14ac:dyDescent="0.2">
      <c r="A47">
        <v>1</v>
      </c>
      <c r="B47" s="4">
        <f>30/10000</f>
        <v>3.0000000000000001E-3</v>
      </c>
      <c r="C47">
        <f>(B47)/0.6</f>
        <v>5.0000000000000001E-3</v>
      </c>
      <c r="E47">
        <f>(1-C47/1.01)^A47</f>
        <v>0.99504950495049505</v>
      </c>
      <c r="F47">
        <f t="shared" ref="F47:F56" si="10">1-C47</f>
        <v>0.995</v>
      </c>
      <c r="G47">
        <v>-6.8960396039603961E-3</v>
      </c>
      <c r="H47"/>
      <c r="O47" s="1">
        <v>2</v>
      </c>
      <c r="P47" s="5">
        <f t="shared" ref="P47:P55" si="11">Q47*10000</f>
        <v>49.046224959159147</v>
      </c>
      <c r="Q47">
        <v>4.9046224959159151E-3</v>
      </c>
    </row>
    <row r="48" spans="1:17" x14ac:dyDescent="0.2">
      <c r="A48">
        <v>2</v>
      </c>
      <c r="B48" s="4">
        <v>4.9046224959159151E-3</v>
      </c>
      <c r="C48">
        <f>1-(1-B48/0.6)^A48/PRODUCT($F$47:F47)</f>
        <v>1.1338614386576351E-2</v>
      </c>
      <c r="E48">
        <f t="shared" ref="E48:E49" si="12">(1-C48/1.01)^A48</f>
        <v>0.97767332919843475</v>
      </c>
      <c r="F48">
        <f t="shared" si="10"/>
        <v>0.98866138561342365</v>
      </c>
      <c r="G48">
        <v>-9.7293702142491594E-3</v>
      </c>
      <c r="H48">
        <f>(SUM($E$47:E47)+(((1-B48/0.6)^A48/PRODUCT($F$47:F47))/1.01)^A48)*(B48-0.01)</f>
        <v>-9.9525012070093358E-3</v>
      </c>
      <c r="O48" s="1">
        <v>3</v>
      </c>
      <c r="P48" s="5">
        <f t="shared" si="11"/>
        <v>71.194973193495542</v>
      </c>
      <c r="Q48">
        <v>7.1194973193495544E-3</v>
      </c>
    </row>
    <row r="49" spans="1:17" x14ac:dyDescent="0.2">
      <c r="A49">
        <v>3</v>
      </c>
      <c r="B49" s="4">
        <v>7.1194986561099105E-3</v>
      </c>
      <c r="C49">
        <f>1-(1-B49/0.6)^A49/PRODUCT($F$47:F48)</f>
        <v>1.9207585198801391E-2</v>
      </c>
      <c r="E49">
        <f t="shared" si="12"/>
        <v>0.94402587463620169</v>
      </c>
      <c r="F49">
        <f t="shared" si="10"/>
        <v>0.98079241480119861</v>
      </c>
      <c r="G49">
        <v>-8.619354104070347E-3</v>
      </c>
      <c r="H49">
        <f>(SUM($E$47:E48)+(((1-B49/0.6)^A49/PRODUCT($F$47:F48))/1.01)^A49)*(B49-0.01)</f>
        <v>-8.3201906416514194E-3</v>
      </c>
      <c r="O49" s="1">
        <v>4</v>
      </c>
      <c r="P49" s="5">
        <f t="shared" si="11"/>
        <v>90.663733715246238</v>
      </c>
      <c r="Q49">
        <v>9.0663733715246244E-3</v>
      </c>
    </row>
    <row r="50" spans="1:17" x14ac:dyDescent="0.2">
      <c r="A50">
        <v>4</v>
      </c>
      <c r="B50" s="4">
        <v>9.0663733715246244E-3</v>
      </c>
      <c r="C50">
        <f>1-(1-B50/0.6)^A50/PRODUCT($F$47:F49)</f>
        <v>2.4781205093952652E-2</v>
      </c>
      <c r="E50">
        <f t="shared" ref="E50" si="13">(1-C50/1.01)^A50</f>
        <v>0.90540993943984438</v>
      </c>
      <c r="F50">
        <f t="shared" si="10"/>
        <v>0.97521879490604735</v>
      </c>
      <c r="G50">
        <v>-3.7585266458611878E-3</v>
      </c>
      <c r="H50">
        <f>(SUM($E$47:E49)+(((1-B50/0.6)^A50/PRODUCT($F$47:F49))/1.01)^A50)*(B50-0.01)</f>
        <v>-3.5346682048220048E-3</v>
      </c>
      <c r="O50" s="1">
        <v>5</v>
      </c>
      <c r="P50" s="5">
        <f t="shared" si="11"/>
        <v>108.98734740118384</v>
      </c>
      <c r="Q50">
        <v>1.0898734740118383E-2</v>
      </c>
    </row>
    <row r="51" spans="1:17" x14ac:dyDescent="0.2">
      <c r="A51">
        <v>5</v>
      </c>
      <c r="B51" s="4">
        <v>1.0898734740118383E-2</v>
      </c>
      <c r="C51">
        <f>1-(1-B51/0.6)^A51/PRODUCT($F$47:F50)</f>
        <v>3.0285897390386451E-2</v>
      </c>
      <c r="E51">
        <f t="shared" ref="E51" si="14">(1-C51/1.01)^A51</f>
        <v>0.8587958341076003</v>
      </c>
      <c r="F51">
        <f t="shared" si="10"/>
        <v>0.96971410260961355</v>
      </c>
      <c r="G51">
        <v>4.59461967045022E-3</v>
      </c>
      <c r="H51">
        <f>(SUM($E$47:E50)+(((1-B51/0.6)^A51/PRODUCT($F$47:F50))/1.01)^A51)*(B51-0.01)</f>
        <v>4.168341812422257E-3</v>
      </c>
      <c r="O51" s="1">
        <v>6</v>
      </c>
      <c r="P51" s="5">
        <f t="shared" si="11"/>
        <v>119.71665183304182</v>
      </c>
      <c r="Q51">
        <v>1.1971665183304182E-2</v>
      </c>
    </row>
    <row r="52" spans="1:17" x14ac:dyDescent="0.2">
      <c r="A52">
        <v>6</v>
      </c>
      <c r="B52" s="4">
        <v>1.1971665183304182E-2</v>
      </c>
      <c r="C52">
        <f>1-(1-B52/0.6)^A52/PRODUCT($F$47:F51)</f>
        <v>2.884512758584945E-2</v>
      </c>
      <c r="E52">
        <f t="shared" ref="E52" si="15">(1-C52/1.01)^A52</f>
        <v>0.84042148553735641</v>
      </c>
      <c r="F52">
        <f t="shared" si="10"/>
        <v>0.97115487241415055</v>
      </c>
      <c r="G52">
        <v>1.0812431853494E-2</v>
      </c>
      <c r="H52">
        <f>(SUM($E$47:E51)+(((1-B52/0.6)^A52/PRODUCT($F$47:F51))/1.01)^A52)*(B52-0.01)</f>
        <v>1.0787520491644822E-2</v>
      </c>
      <c r="O52" s="1">
        <v>7</v>
      </c>
      <c r="P52" s="5">
        <f t="shared" si="11"/>
        <v>129.3934171529269</v>
      </c>
      <c r="Q52">
        <v>1.293934171529269E-2</v>
      </c>
    </row>
    <row r="53" spans="1:17" x14ac:dyDescent="0.2">
      <c r="A53">
        <v>7</v>
      </c>
      <c r="B53" s="4">
        <v>1.293934171529269E-2</v>
      </c>
      <c r="C53">
        <f>1-(1-B53/0.6)^A53/PRODUCT($F$47:F52)</f>
        <v>3.1186752177376209E-2</v>
      </c>
      <c r="E53">
        <f t="shared" ref="E53" si="16">(1-C53/1.01)^A53</f>
        <v>0.80287743930831179</v>
      </c>
      <c r="F53">
        <f t="shared" si="10"/>
        <v>0.96881324782262379</v>
      </c>
      <c r="G53">
        <v>1.8525171308601301E-2</v>
      </c>
      <c r="H53">
        <f>(SUM($E$47:E52)+(((1-B53/0.6)^A53/PRODUCT($F$47:F52))/1.01)^A53)*(B53-0.01)</f>
        <v>1.842545650637889E-2</v>
      </c>
      <c r="O53" s="1">
        <v>8</v>
      </c>
      <c r="P53" s="5">
        <f t="shared" si="11"/>
        <v>138.85833951703364</v>
      </c>
      <c r="Q53">
        <v>1.3885833951703364E-2</v>
      </c>
    </row>
    <row r="54" spans="1:17" x14ac:dyDescent="0.2">
      <c r="A54">
        <v>8</v>
      </c>
      <c r="B54" s="4">
        <v>1.3885833951703364E-2</v>
      </c>
      <c r="C54">
        <f>1-(1-B54/0.6)^A54/PRODUCT($F$47:F53)</f>
        <v>3.411448239926318E-2</v>
      </c>
      <c r="E54">
        <f t="shared" ref="E54" si="17">(1-C54/1.01)^A54</f>
        <v>0.75966128495323981</v>
      </c>
      <c r="F54">
        <f t="shared" si="10"/>
        <v>0.96588551760073682</v>
      </c>
      <c r="G54">
        <v>2.75959692333025E-2</v>
      </c>
      <c r="H54">
        <f>(SUM($E$47:E53)+(((1-B54/0.6)^A54/PRODUCT($F$47:F53))/1.01)^A54)*(B54-0.01)</f>
        <v>2.7293430666145944E-2</v>
      </c>
      <c r="O54" s="1">
        <v>9</v>
      </c>
      <c r="P54" s="5">
        <f t="shared" si="11"/>
        <v>147.92990984944274</v>
      </c>
      <c r="Q54">
        <v>1.4792990984944274E-2</v>
      </c>
    </row>
    <row r="55" spans="1:17" x14ac:dyDescent="0.2">
      <c r="A55">
        <v>9</v>
      </c>
      <c r="B55" s="4">
        <v>1.4792990984944274E-2</v>
      </c>
      <c r="C55">
        <f>1-(1-B55/0.6)^A55/PRODUCT($F$47:F54)</f>
        <v>3.6666472586350918E-2</v>
      </c>
      <c r="E55">
        <f t="shared" ref="E55" si="18">(1-C55/1.01)^A55</f>
        <v>0.71690694215742157</v>
      </c>
      <c r="F55">
        <f t="shared" si="10"/>
        <v>0.96333352741364908</v>
      </c>
      <c r="G55">
        <v>3.78815587019838E-2</v>
      </c>
      <c r="H55">
        <f>(SUM($E$47:E54)+(((1-B55/0.6)^A55/PRODUCT($F$47:F54))/1.01)^A55)*(B55-0.01)</f>
        <v>3.7084292534931174E-2</v>
      </c>
      <c r="O55" s="1">
        <v>10</v>
      </c>
      <c r="P55" s="5">
        <f t="shared" si="11"/>
        <v>158.63655686611102</v>
      </c>
      <c r="Q55">
        <v>1.5863655686611102E-2</v>
      </c>
    </row>
    <row r="56" spans="1:17" x14ac:dyDescent="0.2">
      <c r="A56">
        <v>10</v>
      </c>
      <c r="B56" s="4">
        <v>1.5863655686611102E-2</v>
      </c>
      <c r="C56">
        <f>1-(1-B56/0.6)^A56/PRODUCT($F$47:F55)</f>
        <v>4.2353198647551049E-2</v>
      </c>
      <c r="E56">
        <f t="shared" ref="E56" si="19">(1-C56/1.01)^A56</f>
        <v>0.65156075171627303</v>
      </c>
      <c r="F56">
        <f t="shared" si="10"/>
        <v>0.95764680135244895</v>
      </c>
      <c r="G56">
        <v>4.92344845721071E-2</v>
      </c>
      <c r="H56">
        <f>(SUM($E$47:E55)+(((1-B56/0.6)^A56/PRODUCT($F$47:F55))/1.01)^A56)*(B56-0.01)</f>
        <v>4.9184897626813093E-2</v>
      </c>
    </row>
  </sheetData>
  <mergeCells count="4">
    <mergeCell ref="C32:E32"/>
    <mergeCell ref="A1:F1"/>
    <mergeCell ref="A31:F31"/>
    <mergeCell ref="A44:F44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XINYU</dc:creator>
  <cp:lastModifiedBy>Microsoft Office User</cp:lastModifiedBy>
  <dcterms:created xsi:type="dcterms:W3CDTF">2020-05-20T12:52:41Z</dcterms:created>
  <dcterms:modified xsi:type="dcterms:W3CDTF">2020-06-04T16:19:49Z</dcterms:modified>
</cp:coreProperties>
</file>